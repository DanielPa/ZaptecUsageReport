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ppd/Documents/Github/DanielPa/ZaptecUsageReport/"/>
    </mc:Choice>
  </mc:AlternateContent>
  <xr:revisionPtr revIDLastSave="0" documentId="13_ncr:1_{E1F7EED5-522C-6349-A1B6-7F66F4CC9B58}" xr6:coauthVersionLast="47" xr6:coauthVersionMax="47" xr10:uidLastSave="{00000000-0000-0000-0000-000000000000}"/>
  <bookViews>
    <workbookView xWindow="1080" yWindow="680" windowWidth="33480" windowHeight="21660" xr2:uid="{00000000-000D-0000-FFFF-FFFF00000000}"/>
  </bookViews>
  <sheets>
    <sheet name="Ladeberich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B10" i="2" l="1"/>
</calcChain>
</file>

<file path=xl/sharedStrings.xml><?xml version="1.0" encoding="utf-8"?>
<sst xmlns="http://schemas.openxmlformats.org/spreadsheetml/2006/main" count="27" uniqueCount="27">
  <si>
    <t>Start</t>
  </si>
  <si>
    <t>Mitarbeiter</t>
  </si>
  <si>
    <t>Adresse</t>
  </si>
  <si>
    <t>Exportdatum</t>
  </si>
  <si>
    <t>{{EXPORT_DATE}}</t>
  </si>
  <si>
    <t>{{DATE_RANGE}}</t>
  </si>
  <si>
    <t>Kennzeichen</t>
  </si>
  <si>
    <t>Anzahl Sessions</t>
  </si>
  <si>
    <t>{{SESSION_COUNT}}</t>
  </si>
  <si>
    <t>Modell</t>
  </si>
  <si>
    <t>{{TOTALENERGY}}</t>
  </si>
  <si>
    <t>Strompreis pro kWh (brutto)</t>
  </si>
  <si>
    <t>gemäß Tarifbestätigung vom 20.10.2025</t>
  </si>
  <si>
    <t>ID</t>
  </si>
  <si>
    <t>Ende</t>
  </si>
  <si>
    <t>Dauer (Stunden)</t>
  </si>
  <si>
    <t>Geräte-ID</t>
  </si>
  <si>
    <t>Kosten</t>
  </si>
  <si>
    <t>OCMF Signatur</t>
  </si>
  <si>
    <t>Energie (kWh)</t>
  </si>
  <si>
    <t>Gesamtkosten (brutto)</t>
  </si>
  <si>
    <t>Gesamtladeleistung (kWh)</t>
  </si>
  <si>
    <t>Abfrage-Zeitraum</t>
  </si>
  <si>
    <t>Max Mustermann</t>
  </si>
  <si>
    <t>Testhausstraße 7, 00000 Entenhausen</t>
  </si>
  <si>
    <t>XXX-123E</t>
  </si>
  <si>
    <t>E-Trabbi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</si>
</sst>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\ &quot;€&quot;"/>
    <numFmt numFmtId="165" formatCode="dd/mm/yyyy\ h:mm;@"/>
  </numFmts>
  <fonts count="6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 tint="0.34998626667073579"/>
      <name val="Calibri"/>
      <family val="2"/>
    </font>
    <font>
      <sz val="8"/>
      <color theme="1" tint="0.499984740745262"/>
      <name val="Calibri"/>
      <family val="2"/>
    </font>
    <font>
      <sz val="1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4" fontId="4" fillId="0" borderId="0" xfId="0" applyNumberFormat="1" applyFont="1"/>
    <xf numFmtId="164" fontId="5" fillId="0" borderId="0" xfId="0" applyNumberFormat="1" applyFont="1"/>
    <xf numFmtId="22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165" fontId="0" fillId="0" borderId="0" xfId="0" applyNumberFormat="1"/>
  </cellXfs>
  <cellStyles count="1">
    <cellStyle name="Standard" xfId="0" builtinId="0"/>
  </cellStyles>
  <dxfs count="7">
    <dxf>
      <numFmt numFmtId="164" formatCode="#,##0.000\ &quot;€&quot;"/>
    </dxf>
    <dxf>
      <numFmt numFmtId="30" formatCode="@"/>
    </dxf>
    <dxf>
      <numFmt numFmtId="0" formatCode="General"/>
    </dxf>
    <dxf>
      <numFmt numFmtId="165" formatCode="dd/mm/yyyy\ h:mm;@"/>
    </dxf>
    <dxf>
      <numFmt numFmtId="165" formatCode="dd/mm/yyyy\ h:mm;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2499A0-83BC-FB4A-806A-F42657E3765E}" name="Tabelle3" displayName="Tabelle3" ref="A13:H14" totalsRowShown="0">
  <autoFilter ref="A13:H14" xr:uid="{702499A0-83BC-FB4A-806A-F42657E3765E}"/>
  <tableColumns count="8">
    <tableColumn id="1" xr3:uid="{43959088-CFA8-454E-90D2-475E42260FD8}" name="ID" dataDxfId="6"/>
    <tableColumn id="2" xr3:uid="{5BB0CD28-AB4F-2E49-A3DE-818FECBE971A}" name="Geräte-ID" dataDxfId="5"/>
    <tableColumn id="3" xr3:uid="{06A9C952-D4B9-8F4C-9ABB-FFCA3B1B00AD}" name="Start" dataDxfId="4"/>
    <tableColumn id="4" xr3:uid="{2B5F2041-623B-8344-BB67-EB16E398BC57}" name="Ende" dataDxfId="3"/>
    <tableColumn id="5" xr3:uid="{6DF07E4A-14EB-C748-84C6-0B3584293968}" name="Dauer (Stunden)" dataDxfId="2"/>
    <tableColumn id="8" xr3:uid="{737218B9-E4AD-6847-8DB0-E3846AEAAB7F}" name="Energie (kWh)"/>
    <tableColumn id="7" xr3:uid="{D7E4EF5E-1FB2-444A-9830-750FD125F2DE}" name="OCMF Signatur" dataDxfId="1"/>
    <tableColumn id="6" xr3:uid="{9F13A570-B293-DA45-8C36-DB6586537E32}" name="Kosten" dataDxfId="0">
      <calculatedColumnFormula>Tabelle3[[#This Row],[Energie (kWh)]]*$B$9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9518-5460-3840-908E-BA817F3E5B2D}">
  <dimension ref="A1:H14"/>
  <sheetViews>
    <sheetView tabSelected="1" zoomScale="160" workbookViewId="0">
      <selection activeCell="C9" sqref="C9"/>
    </sheetView>
  </sheetViews>
  <sheetFormatPr baseColWidth="10" defaultRowHeight="15" x14ac:dyDescent="0.2"/>
  <cols>
    <col min="1" max="1" width="33.6640625" customWidth="1"/>
    <col min="2" max="4" width="14" customWidth="1"/>
    <col min="5" max="5" width="15.1640625" customWidth="1"/>
    <col min="6" max="6" width="14.33203125" bestFit="1" customWidth="1"/>
    <col min="7" max="7" width="15" hidden="1" customWidth="1"/>
  </cols>
  <sheetData>
    <row r="1" spans="1:8" x14ac:dyDescent="0.2">
      <c r="A1" s="1" t="s">
        <v>1</v>
      </c>
      <c r="B1" s="3" t="s">
        <v>23</v>
      </c>
    </row>
    <row r="2" spans="1:8" x14ac:dyDescent="0.2">
      <c r="A2" s="1" t="s">
        <v>2</v>
      </c>
      <c r="B2" s="3" t="s">
        <v>24</v>
      </c>
    </row>
    <row r="3" spans="1:8" x14ac:dyDescent="0.2">
      <c r="A3" s="1" t="s">
        <v>3</v>
      </c>
      <c r="B3" s="8" t="s">
        <v>4</v>
      </c>
    </row>
    <row r="4" spans="1:8" x14ac:dyDescent="0.2">
      <c r="A4" s="1" t="s">
        <v>22</v>
      </c>
      <c r="B4" s="9" t="s">
        <v>5</v>
      </c>
    </row>
    <row r="5" spans="1:8" x14ac:dyDescent="0.2">
      <c r="A5" s="1" t="s">
        <v>6</v>
      </c>
      <c r="B5" s="3" t="s">
        <v>25</v>
      </c>
    </row>
    <row r="6" spans="1:8" x14ac:dyDescent="0.2">
      <c r="A6" s="1" t="s">
        <v>9</v>
      </c>
      <c r="B6" s="3" t="s">
        <v>26</v>
      </c>
    </row>
    <row r="7" spans="1:8" x14ac:dyDescent="0.2">
      <c r="A7" s="1" t="s">
        <v>7</v>
      </c>
      <c r="B7" t="s">
        <v>8</v>
      </c>
    </row>
    <row r="8" spans="1:8" x14ac:dyDescent="0.2">
      <c r="A8" s="1" t="s">
        <v>21</v>
      </c>
      <c r="B8" t="s">
        <v>10</v>
      </c>
    </row>
    <row r="9" spans="1:8" x14ac:dyDescent="0.2">
      <c r="A9" s="1" t="s">
        <v>11</v>
      </c>
      <c r="B9" s="6">
        <v>0.28599999999999998</v>
      </c>
      <c r="C9" s="4" t="s">
        <v>12</v>
      </c>
    </row>
    <row r="10" spans="1:8" x14ac:dyDescent="0.2">
      <c r="A10" s="1" t="s">
        <v>20</v>
      </c>
      <c r="B10" s="7">
        <f>SUM(Tabelle3[Kosten])</f>
        <v>0</v>
      </c>
    </row>
    <row r="13" spans="1:8" x14ac:dyDescent="0.2">
      <c r="A13" t="s">
        <v>13</v>
      </c>
      <c r="B13" t="s">
        <v>16</v>
      </c>
      <c r="C13" t="s">
        <v>0</v>
      </c>
      <c r="D13" t="s">
        <v>14</v>
      </c>
      <c r="E13" t="s">
        <v>15</v>
      </c>
      <c r="F13" t="s">
        <v>19</v>
      </c>
      <c r="G13" t="s">
        <v>18</v>
      </c>
      <c r="H13" t="s">
        <v>17</v>
      </c>
    </row>
    <row r="14" spans="1:8" x14ac:dyDescent="0.2">
      <c r="A14" s="2"/>
      <c r="B14" s="2"/>
      <c r="C14" s="10"/>
      <c r="D14" s="10"/>
      <c r="G14" s="2"/>
      <c r="H14" s="5">
        <f>Tabelle3[[#This Row],[Energie (kWh)]]*$B$9</f>
        <v>0</v>
      </c>
    </row>
  </sheetData>
  <pageMargins left="0.7" right="0.7" top="0.78740157499999996" bottom="0.78740157499999996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Ladebericht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Papp</cp:lastModifiedBy>
  <dcterms:created xsi:type="dcterms:W3CDTF">2025-11-03T06:39:47Z</dcterms:created>
  <dcterms:modified xsi:type="dcterms:W3CDTF">2026-01-03T10:45:30Z</dcterms:modified>
</cp:coreProperties>
</file>